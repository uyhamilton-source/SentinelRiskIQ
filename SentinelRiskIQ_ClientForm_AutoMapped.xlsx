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Form" sheetId="1" state="visible" r:id="rId1"/>
    <sheet xmlns:r="http://schemas.openxmlformats.org/officeDocument/2006/relationships" name="Mapping" sheetId="2" state="hidden" r:id="rId2"/>
    <sheet xmlns:r="http://schemas.openxmlformats.org/officeDocument/2006/relationships" name="Control Intak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A1F44"/>
      <sz val="16"/>
    </font>
    <font>
      <i val="1"/>
      <color rgb="001E3A8A"/>
    </font>
    <font>
      <b val="1"/>
      <color rgb="00FFFFFF"/>
    </font>
    <font>
      <b val="1"/>
      <color rgb="000A1F44"/>
      <sz val="14"/>
    </font>
  </fonts>
  <fills count="4">
    <fill>
      <patternFill/>
    </fill>
    <fill>
      <patternFill patternType="gray125"/>
    </fill>
    <fill>
      <patternFill patternType="solid">
        <fgColor rgb="000A1F44"/>
      </patternFill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62" customWidth="1" min="2" max="2"/>
    <col width="16" customWidth="1" min="3" max="3"/>
    <col width="28" customWidth="1" min="4" max="4"/>
  </cols>
  <sheetData>
    <row r="1">
      <c r="A1" s="1" t="inlineStr">
        <is>
          <t>SentinelRiskIQ™ Client Form</t>
        </is>
      </c>
    </row>
    <row r="2">
      <c r="A2" s="2" t="inlineStr">
        <is>
          <t>Simple client-facing questions. Your answers automatically populate the hidden Control Intake sheet.</t>
        </is>
      </c>
    </row>
    <row r="4">
      <c r="A4" s="3" t="inlineStr">
        <is>
          <t>Section</t>
        </is>
      </c>
      <c r="B4" s="3" t="inlineStr">
        <is>
          <t>Question</t>
        </is>
      </c>
      <c r="C4" s="3" t="inlineStr">
        <is>
          <t>Answer</t>
        </is>
      </c>
      <c r="D4" s="3" t="inlineStr">
        <is>
          <t>Comments</t>
        </is>
      </c>
    </row>
    <row r="5">
      <c r="A5" s="4" t="inlineStr">
        <is>
          <t>Identity &amp; Access</t>
        </is>
      </c>
      <c r="B5" s="4" t="inlineStr">
        <is>
          <t>Do users use multi-factor authentication (MFA)?</t>
        </is>
      </c>
      <c r="C5" s="4" t="inlineStr"/>
      <c r="D5" s="4" t="inlineStr"/>
    </row>
    <row r="6">
      <c r="A6" s="4" t="inlineStr">
        <is>
          <t>Data Protection</t>
        </is>
      </c>
      <c r="B6" s="4" t="inlineStr">
        <is>
          <t>Is sensitive data encrypted at rest and in transit?</t>
        </is>
      </c>
      <c r="C6" s="4" t="inlineStr"/>
      <c r="D6" s="4" t="inlineStr"/>
    </row>
    <row r="7">
      <c r="A7" s="4" t="inlineStr">
        <is>
          <t>Monitoring</t>
        </is>
      </c>
      <c r="B7" s="4" t="inlineStr">
        <is>
          <t>Are systems monitored in real time for suspicious activity?</t>
        </is>
      </c>
      <c r="C7" s="4" t="inlineStr"/>
      <c r="D7" s="4" t="inlineStr"/>
    </row>
    <row r="8">
      <c r="A8" s="4" t="inlineStr">
        <is>
          <t>Risk Management</t>
        </is>
      </c>
      <c r="B8" s="4" t="inlineStr">
        <is>
          <t>Do you perform a formal risk assessment at least annually?</t>
        </is>
      </c>
      <c r="C8" s="4" t="inlineStr"/>
      <c r="D8" s="4" t="inlineStr"/>
    </row>
    <row r="9">
      <c r="A9" s="4" t="inlineStr">
        <is>
          <t>Third Parties</t>
        </is>
      </c>
      <c r="B9" s="4" t="inlineStr">
        <is>
          <t>Are vendors reviewed for security and compliance risk?</t>
        </is>
      </c>
      <c r="C9" s="4" t="inlineStr"/>
      <c r="D9" s="4" t="inlineStr"/>
    </row>
    <row r="10">
      <c r="A10" s="4" t="inlineStr">
        <is>
          <t>Incident Response</t>
        </is>
      </c>
      <c r="B10" s="4" t="inlineStr">
        <is>
          <t>Do you have a documented incident response plan?</t>
        </is>
      </c>
      <c r="C10" s="4" t="inlineStr"/>
      <c r="D10" s="4" t="inlineStr"/>
    </row>
    <row r="11">
      <c r="A11" s="4" t="inlineStr">
        <is>
          <t>Access Reviews</t>
        </is>
      </c>
      <c r="B11" s="4" t="inlineStr">
        <is>
          <t>Are user access permissions reviewed regularly?</t>
        </is>
      </c>
      <c r="C11" s="4" t="inlineStr"/>
      <c r="D11" s="4" t="inlineStr"/>
    </row>
    <row r="12">
      <c r="A12" s="4" t="inlineStr">
        <is>
          <t>Policies</t>
        </is>
      </c>
      <c r="B12" s="4" t="inlineStr">
        <is>
          <t>Do you have documented security policies that staff can access?</t>
        </is>
      </c>
      <c r="C12" s="4" t="inlineStr"/>
      <c r="D12" s="4" t="inlineStr"/>
    </row>
    <row r="13">
      <c r="A13" s="4" t="inlineStr">
        <is>
          <t>Training</t>
        </is>
      </c>
      <c r="B13" s="4" t="inlineStr">
        <is>
          <t>Do employees receive security awareness training?</t>
        </is>
      </c>
      <c r="C13" s="4" t="inlineStr"/>
      <c r="D13" s="4" t="inlineStr"/>
    </row>
    <row r="14">
      <c r="A14" s="4" t="inlineStr">
        <is>
          <t>Backups</t>
        </is>
      </c>
      <c r="B14" s="4" t="inlineStr">
        <is>
          <t>Are backups performed and restoration tested regularly?</t>
        </is>
      </c>
      <c r="C14" s="4" t="inlineStr"/>
      <c r="D14" s="4" t="inlineStr"/>
    </row>
  </sheetData>
  <dataValidations count="1">
    <dataValidation sqref="C5 C6 C7 C8 C9 C10 C11 C12 C13 C14" showDropDown="0" showInputMessage="0" showErrorMessage="0" allowBlank="1" type="list">
      <formula1>"Yes,Partial,No,Not Sure"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28" customWidth="1" min="5" max="5"/>
    <col width="14" customWidth="1" min="6" max="6"/>
  </cols>
  <sheetData>
    <row r="1">
      <c r="A1" s="5" t="inlineStr">
        <is>
          <t>Question Mapping</t>
        </is>
      </c>
    </row>
    <row r="3">
      <c r="A3" s="6" t="inlineStr">
        <is>
          <t>Question Row</t>
        </is>
      </c>
      <c r="B3" s="6" t="inlineStr">
        <is>
          <t>Control ID</t>
        </is>
      </c>
      <c r="C3" s="6" t="inlineStr">
        <is>
          <t>Framework</t>
        </is>
      </c>
      <c r="D3" s="6" t="inlineStr">
        <is>
          <t>Control Area</t>
        </is>
      </c>
      <c r="E3" s="6" t="inlineStr">
        <is>
          <t>Control Name</t>
        </is>
      </c>
      <c r="F3" s="6" t="inlineStr">
        <is>
          <t>Critical Control</t>
        </is>
      </c>
    </row>
    <row r="4">
      <c r="A4" t="n">
        <v>5</v>
      </c>
      <c r="B4" t="inlineStr">
        <is>
          <t>CTRL-001</t>
        </is>
      </c>
      <c r="C4" t="inlineStr">
        <is>
          <t>SOC 2</t>
        </is>
      </c>
      <c r="D4" t="inlineStr">
        <is>
          <t>Logical Access</t>
        </is>
      </c>
      <c r="E4" t="inlineStr">
        <is>
          <t>MFA Enforcement</t>
        </is>
      </c>
      <c r="F4" t="inlineStr">
        <is>
          <t>Yes</t>
        </is>
      </c>
    </row>
    <row r="5">
      <c r="A5" t="n">
        <v>6</v>
      </c>
      <c r="B5" t="inlineStr">
        <is>
          <t>CTRL-002</t>
        </is>
      </c>
      <c r="C5" t="inlineStr">
        <is>
          <t>HIPAA</t>
        </is>
      </c>
      <c r="D5" t="inlineStr">
        <is>
          <t>Technical</t>
        </is>
      </c>
      <c r="E5" t="inlineStr">
        <is>
          <t>Data Encryption</t>
        </is>
      </c>
      <c r="F5" t="inlineStr">
        <is>
          <t>Yes</t>
        </is>
      </c>
    </row>
    <row r="6">
      <c r="A6" t="n">
        <v>7</v>
      </c>
      <c r="B6" t="inlineStr">
        <is>
          <t>CTRL-003</t>
        </is>
      </c>
      <c r="C6" t="inlineStr">
        <is>
          <t>SOC 2</t>
        </is>
      </c>
      <c r="D6" t="inlineStr">
        <is>
          <t>System Operations</t>
        </is>
      </c>
      <c r="E6" t="inlineStr">
        <is>
          <t>Real-Time Monitoring</t>
        </is>
      </c>
      <c r="F6" t="inlineStr">
        <is>
          <t>Yes</t>
        </is>
      </c>
    </row>
    <row r="7">
      <c r="A7" t="n">
        <v>8</v>
      </c>
      <c r="B7" t="inlineStr">
        <is>
          <t>CTRL-004</t>
        </is>
      </c>
      <c r="C7" t="inlineStr">
        <is>
          <t>HIPAA</t>
        </is>
      </c>
      <c r="D7" t="inlineStr">
        <is>
          <t>Risk Management</t>
        </is>
      </c>
      <c r="E7" t="inlineStr">
        <is>
          <t>Annual Risk Assessment</t>
        </is>
      </c>
      <c r="F7" t="inlineStr">
        <is>
          <t>Yes</t>
        </is>
      </c>
    </row>
    <row r="8">
      <c r="A8" t="n">
        <v>9</v>
      </c>
      <c r="B8" t="inlineStr">
        <is>
          <t>CTRL-005</t>
        </is>
      </c>
      <c r="C8" t="inlineStr">
        <is>
          <t>SOC 2</t>
        </is>
      </c>
      <c r="D8" t="inlineStr">
        <is>
          <t>Vendor Management</t>
        </is>
      </c>
      <c r="E8" t="inlineStr">
        <is>
          <t>Vendor Risk Management</t>
        </is>
      </c>
      <c r="F8" t="inlineStr">
        <is>
          <t>Yes</t>
        </is>
      </c>
    </row>
    <row r="9">
      <c r="A9" t="n">
        <v>10</v>
      </c>
      <c r="B9" t="inlineStr">
        <is>
          <t>CTRL-006</t>
        </is>
      </c>
      <c r="C9" t="inlineStr">
        <is>
          <t>SOC 2</t>
        </is>
      </c>
      <c r="D9" t="inlineStr">
        <is>
          <t>Incident Response</t>
        </is>
      </c>
      <c r="E9" t="inlineStr">
        <is>
          <t>Incident Response Plan</t>
        </is>
      </c>
      <c r="F9" t="inlineStr">
        <is>
          <t>No</t>
        </is>
      </c>
    </row>
    <row r="10">
      <c r="A10" t="n">
        <v>11</v>
      </c>
      <c r="B10" t="inlineStr">
        <is>
          <t>CTRL-007</t>
        </is>
      </c>
      <c r="C10" t="inlineStr">
        <is>
          <t>SOC 2</t>
        </is>
      </c>
      <c r="D10" t="inlineStr">
        <is>
          <t>Control Activities</t>
        </is>
      </c>
      <c r="E10" t="inlineStr">
        <is>
          <t>Access Reviews</t>
        </is>
      </c>
      <c r="F10" t="inlineStr">
        <is>
          <t>No</t>
        </is>
      </c>
    </row>
    <row r="11">
      <c r="A11" t="n">
        <v>12</v>
      </c>
      <c r="B11" t="inlineStr">
        <is>
          <t>CTRL-008</t>
        </is>
      </c>
      <c r="C11" t="inlineStr">
        <is>
          <t>SOC 2</t>
        </is>
      </c>
      <c r="D11" t="inlineStr">
        <is>
          <t>Communication</t>
        </is>
      </c>
      <c r="E11" t="inlineStr">
        <is>
          <t>Policy Governance</t>
        </is>
      </c>
      <c r="F11" t="inlineStr">
        <is>
          <t>No</t>
        </is>
      </c>
    </row>
    <row r="12">
      <c r="A12" t="n">
        <v>13</v>
      </c>
      <c r="B12" t="inlineStr">
        <is>
          <t>CTRL-009</t>
        </is>
      </c>
      <c r="C12" t="inlineStr">
        <is>
          <t>HIPAA</t>
        </is>
      </c>
      <c r="D12" t="inlineStr">
        <is>
          <t>Administrative</t>
        </is>
      </c>
      <c r="E12" t="inlineStr">
        <is>
          <t>Security Training</t>
        </is>
      </c>
      <c r="F12" t="inlineStr">
        <is>
          <t>No</t>
        </is>
      </c>
    </row>
    <row r="13">
      <c r="A13" t="n">
        <v>14</v>
      </c>
      <c r="B13" t="inlineStr">
        <is>
          <t>CTRL-010</t>
        </is>
      </c>
      <c r="C13" t="inlineStr">
        <is>
          <t>HIPAA</t>
        </is>
      </c>
      <c r="D13" t="inlineStr">
        <is>
          <t>Physical</t>
        </is>
      </c>
      <c r="E13" t="inlineStr">
        <is>
          <t>Backup and Recovery</t>
        </is>
      </c>
      <c r="F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8" customWidth="1" min="4" max="4"/>
    <col width="12" customWidth="1" min="5" max="5"/>
    <col width="12" customWidth="1" min="6" max="6"/>
    <col width="14" customWidth="1" min="7" max="7"/>
    <col width="14" customWidth="1" min="8" max="8"/>
    <col width="16" customWidth="1" min="9" max="9"/>
    <col width="14" customWidth="1" min="10" max="10"/>
    <col width="14" customWidth="1" min="11" max="11"/>
  </cols>
  <sheetData>
    <row r="1">
      <c r="A1" s="5" t="inlineStr">
        <is>
          <t>Control Intake (Auto-Populated from Client Form)</t>
        </is>
      </c>
    </row>
    <row r="2">
      <c r="A2" s="2" t="inlineStr">
        <is>
          <t>Do not edit this sheet directly. It is generated from the Client Form.</t>
        </is>
      </c>
    </row>
    <row r="4">
      <c r="A4" s="3" t="inlineStr">
        <is>
          <t>Control ID</t>
        </is>
      </c>
      <c r="B4" s="3" t="inlineStr">
        <is>
          <t>Framework</t>
        </is>
      </c>
      <c r="C4" s="3" t="inlineStr">
        <is>
          <t>Control Area</t>
        </is>
      </c>
      <c r="D4" s="3" t="inlineStr">
        <is>
          <t>Control Name</t>
        </is>
      </c>
      <c r="E4" s="3" t="inlineStr">
        <is>
          <t>Status</t>
        </is>
      </c>
      <c r="F4" s="3" t="inlineStr">
        <is>
          <t>Policy Exists</t>
        </is>
      </c>
      <c r="G4" s="3" t="inlineStr">
        <is>
          <t>Procedure Exists</t>
        </is>
      </c>
      <c r="H4" s="3" t="inlineStr">
        <is>
          <t>Owner Assigned</t>
        </is>
      </c>
      <c r="I4" s="3" t="inlineStr">
        <is>
          <t>Evidence Available</t>
        </is>
      </c>
      <c r="J4" s="3" t="inlineStr">
        <is>
          <t>Tested Recently</t>
        </is>
      </c>
      <c r="K4" s="3" t="inlineStr">
        <is>
          <t>Critical Control</t>
        </is>
      </c>
    </row>
    <row r="5">
      <c r="A5">
        <f>Mapping!B4</f>
        <v/>
      </c>
      <c r="B5">
        <f>Mapping!C4</f>
        <v/>
      </c>
      <c r="C5">
        <f>Mapping!D4</f>
        <v/>
      </c>
      <c r="D5">
        <f>Mapping!E4</f>
        <v/>
      </c>
      <c r="E5">
        <f>IF('Client Form'!C5="Yes","Yes",IF('Client Form'!C5="Partial","Partial","No"))</f>
        <v/>
      </c>
      <c r="F5">
        <f>IF(OR('Client Form'!C5="Yes",'Client Form'!C5="Partial"),"Yes","No")</f>
        <v/>
      </c>
      <c r="G5">
        <f>IF('Client Form'!C5="Yes","Yes","No")</f>
        <v/>
      </c>
      <c r="H5">
        <f>IF(OR('Client Form'!C5="Yes",'Client Form'!C5="Partial"),"Yes","No")</f>
        <v/>
      </c>
      <c r="I5">
        <f>IF('Client Form'!C5="Yes","Yes","No")</f>
        <v/>
      </c>
      <c r="J5">
        <f>IF('Client Form'!C5="Yes","Yes","No")</f>
        <v/>
      </c>
      <c r="K5">
        <f>Mapping!F4</f>
        <v/>
      </c>
    </row>
    <row r="6">
      <c r="A6">
        <f>Mapping!B5</f>
        <v/>
      </c>
      <c r="B6">
        <f>Mapping!C5</f>
        <v/>
      </c>
      <c r="C6">
        <f>Mapping!D5</f>
        <v/>
      </c>
      <c r="D6">
        <f>Mapping!E5</f>
        <v/>
      </c>
      <c r="E6">
        <f>IF('Client Form'!C6="Yes","Yes",IF('Client Form'!C6="Partial","Partial","No"))</f>
        <v/>
      </c>
      <c r="F6">
        <f>IF(OR('Client Form'!C6="Yes",'Client Form'!C6="Partial"),"Yes","No")</f>
        <v/>
      </c>
      <c r="G6">
        <f>IF('Client Form'!C6="Yes","Yes","No")</f>
        <v/>
      </c>
      <c r="H6">
        <f>IF(OR('Client Form'!C6="Yes",'Client Form'!C6="Partial"),"Yes","No")</f>
        <v/>
      </c>
      <c r="I6">
        <f>IF('Client Form'!C6="Yes","Yes","No")</f>
        <v/>
      </c>
      <c r="J6">
        <f>IF('Client Form'!C6="Yes","Yes","No")</f>
        <v/>
      </c>
      <c r="K6">
        <f>Mapping!F5</f>
        <v/>
      </c>
    </row>
    <row r="7">
      <c r="A7">
        <f>Mapping!B6</f>
        <v/>
      </c>
      <c r="B7">
        <f>Mapping!C6</f>
        <v/>
      </c>
      <c r="C7">
        <f>Mapping!D6</f>
        <v/>
      </c>
      <c r="D7">
        <f>Mapping!E6</f>
        <v/>
      </c>
      <c r="E7">
        <f>IF('Client Form'!C7="Yes","Yes",IF('Client Form'!C7="Partial","Partial","No"))</f>
        <v/>
      </c>
      <c r="F7">
        <f>IF(OR('Client Form'!C7="Yes",'Client Form'!C7="Partial"),"Yes","No")</f>
        <v/>
      </c>
      <c r="G7">
        <f>IF('Client Form'!C7="Yes","Yes","No")</f>
        <v/>
      </c>
      <c r="H7">
        <f>IF(OR('Client Form'!C7="Yes",'Client Form'!C7="Partial"),"Yes","No")</f>
        <v/>
      </c>
      <c r="I7">
        <f>IF('Client Form'!C7="Yes","Yes","No")</f>
        <v/>
      </c>
      <c r="J7">
        <f>IF('Client Form'!C7="Yes","Yes","No")</f>
        <v/>
      </c>
      <c r="K7">
        <f>Mapping!F6</f>
        <v/>
      </c>
    </row>
    <row r="8">
      <c r="A8">
        <f>Mapping!B7</f>
        <v/>
      </c>
      <c r="B8">
        <f>Mapping!C7</f>
        <v/>
      </c>
      <c r="C8">
        <f>Mapping!D7</f>
        <v/>
      </c>
      <c r="D8">
        <f>Mapping!E7</f>
        <v/>
      </c>
      <c r="E8">
        <f>IF('Client Form'!C8="Yes","Yes",IF('Client Form'!C8="Partial","Partial","No"))</f>
        <v/>
      </c>
      <c r="F8">
        <f>IF(OR('Client Form'!C8="Yes",'Client Form'!C8="Partial"),"Yes","No")</f>
        <v/>
      </c>
      <c r="G8">
        <f>IF('Client Form'!C8="Yes","Yes","No")</f>
        <v/>
      </c>
      <c r="H8">
        <f>IF(OR('Client Form'!C8="Yes",'Client Form'!C8="Partial"),"Yes","No")</f>
        <v/>
      </c>
      <c r="I8">
        <f>IF('Client Form'!C8="Yes","Yes","No")</f>
        <v/>
      </c>
      <c r="J8">
        <f>IF('Client Form'!C8="Yes","Yes","No")</f>
        <v/>
      </c>
      <c r="K8">
        <f>Mapping!F7</f>
        <v/>
      </c>
    </row>
    <row r="9">
      <c r="A9">
        <f>Mapping!B8</f>
        <v/>
      </c>
      <c r="B9">
        <f>Mapping!C8</f>
        <v/>
      </c>
      <c r="C9">
        <f>Mapping!D8</f>
        <v/>
      </c>
      <c r="D9">
        <f>Mapping!E8</f>
        <v/>
      </c>
      <c r="E9">
        <f>IF('Client Form'!C9="Yes","Yes",IF('Client Form'!C9="Partial","Partial","No"))</f>
        <v/>
      </c>
      <c r="F9">
        <f>IF(OR('Client Form'!C9="Yes",'Client Form'!C9="Partial"),"Yes","No")</f>
        <v/>
      </c>
      <c r="G9">
        <f>IF('Client Form'!C9="Yes","Yes","No")</f>
        <v/>
      </c>
      <c r="H9">
        <f>IF(OR('Client Form'!C9="Yes",'Client Form'!C9="Partial"),"Yes","No")</f>
        <v/>
      </c>
      <c r="I9">
        <f>IF('Client Form'!C9="Yes","Yes","No")</f>
        <v/>
      </c>
      <c r="J9">
        <f>IF('Client Form'!C9="Yes","Yes","No")</f>
        <v/>
      </c>
      <c r="K9">
        <f>Mapping!F8</f>
        <v/>
      </c>
    </row>
    <row r="10">
      <c r="A10">
        <f>Mapping!B9</f>
        <v/>
      </c>
      <c r="B10">
        <f>Mapping!C9</f>
        <v/>
      </c>
      <c r="C10">
        <f>Mapping!D9</f>
        <v/>
      </c>
      <c r="D10">
        <f>Mapping!E9</f>
        <v/>
      </c>
      <c r="E10">
        <f>IF('Client Form'!C10="Yes","Yes",IF('Client Form'!C10="Partial","Partial","No"))</f>
        <v/>
      </c>
      <c r="F10">
        <f>IF(OR('Client Form'!C10="Yes",'Client Form'!C10="Partial"),"Yes","No")</f>
        <v/>
      </c>
      <c r="G10">
        <f>IF('Client Form'!C10="Yes","Yes","No")</f>
        <v/>
      </c>
      <c r="H10">
        <f>IF(OR('Client Form'!C10="Yes",'Client Form'!C10="Partial"),"Yes","No")</f>
        <v/>
      </c>
      <c r="I10">
        <f>IF('Client Form'!C10="Yes","Yes","No")</f>
        <v/>
      </c>
      <c r="J10">
        <f>IF('Client Form'!C10="Yes","Yes","No")</f>
        <v/>
      </c>
      <c r="K10">
        <f>Mapping!F9</f>
        <v/>
      </c>
    </row>
    <row r="11">
      <c r="A11">
        <f>Mapping!B10</f>
        <v/>
      </c>
      <c r="B11">
        <f>Mapping!C10</f>
        <v/>
      </c>
      <c r="C11">
        <f>Mapping!D10</f>
        <v/>
      </c>
      <c r="D11">
        <f>Mapping!E10</f>
        <v/>
      </c>
      <c r="E11">
        <f>IF('Client Form'!C11="Yes","Yes",IF('Client Form'!C11="Partial","Partial","No"))</f>
        <v/>
      </c>
      <c r="F11">
        <f>IF(OR('Client Form'!C11="Yes",'Client Form'!C11="Partial"),"Yes","No")</f>
        <v/>
      </c>
      <c r="G11">
        <f>IF('Client Form'!C11="Yes","Yes","No")</f>
        <v/>
      </c>
      <c r="H11">
        <f>IF(OR('Client Form'!C11="Yes",'Client Form'!C11="Partial"),"Yes","No")</f>
        <v/>
      </c>
      <c r="I11">
        <f>IF('Client Form'!C11="Yes","Yes","No")</f>
        <v/>
      </c>
      <c r="J11">
        <f>IF('Client Form'!C11="Yes","Yes","No")</f>
        <v/>
      </c>
      <c r="K11">
        <f>Mapping!F10</f>
        <v/>
      </c>
    </row>
    <row r="12">
      <c r="A12">
        <f>Mapping!B11</f>
        <v/>
      </c>
      <c r="B12">
        <f>Mapping!C11</f>
        <v/>
      </c>
      <c r="C12">
        <f>Mapping!D11</f>
        <v/>
      </c>
      <c r="D12">
        <f>Mapping!E11</f>
        <v/>
      </c>
      <c r="E12">
        <f>IF('Client Form'!C12="Yes","Yes",IF('Client Form'!C12="Partial","Partial","No"))</f>
        <v/>
      </c>
      <c r="F12">
        <f>IF(OR('Client Form'!C12="Yes",'Client Form'!C12="Partial"),"Yes","No")</f>
        <v/>
      </c>
      <c r="G12">
        <f>IF('Client Form'!C12="Yes","Yes","No")</f>
        <v/>
      </c>
      <c r="H12">
        <f>IF(OR('Client Form'!C12="Yes",'Client Form'!C12="Partial"),"Yes","No")</f>
        <v/>
      </c>
      <c r="I12">
        <f>IF('Client Form'!C12="Yes","Yes","No")</f>
        <v/>
      </c>
      <c r="J12">
        <f>IF('Client Form'!C12="Yes","Yes","No")</f>
        <v/>
      </c>
      <c r="K12">
        <f>Mapping!F11</f>
        <v/>
      </c>
    </row>
    <row r="13">
      <c r="A13">
        <f>Mapping!B12</f>
        <v/>
      </c>
      <c r="B13">
        <f>Mapping!C12</f>
        <v/>
      </c>
      <c r="C13">
        <f>Mapping!D12</f>
        <v/>
      </c>
      <c r="D13">
        <f>Mapping!E12</f>
        <v/>
      </c>
      <c r="E13">
        <f>IF('Client Form'!C13="Yes","Yes",IF('Client Form'!C13="Partial","Partial","No"))</f>
        <v/>
      </c>
      <c r="F13">
        <f>IF(OR('Client Form'!C13="Yes",'Client Form'!C13="Partial"),"Yes","No")</f>
        <v/>
      </c>
      <c r="G13">
        <f>IF('Client Form'!C13="Yes","Yes","No")</f>
        <v/>
      </c>
      <c r="H13">
        <f>IF(OR('Client Form'!C13="Yes",'Client Form'!C13="Partial"),"Yes","No")</f>
        <v/>
      </c>
      <c r="I13">
        <f>IF('Client Form'!C13="Yes","Yes","No")</f>
        <v/>
      </c>
      <c r="J13">
        <f>IF('Client Form'!C13="Yes","Yes","No")</f>
        <v/>
      </c>
      <c r="K13">
        <f>Mapping!F12</f>
        <v/>
      </c>
    </row>
    <row r="14">
      <c r="A14">
        <f>Mapping!B13</f>
        <v/>
      </c>
      <c r="B14">
        <f>Mapping!C13</f>
        <v/>
      </c>
      <c r="C14">
        <f>Mapping!D13</f>
        <v/>
      </c>
      <c r="D14">
        <f>Mapping!E13</f>
        <v/>
      </c>
      <c r="E14">
        <f>IF('Client Form'!C14="Yes","Yes",IF('Client Form'!C14="Partial","Partial","No"))</f>
        <v/>
      </c>
      <c r="F14">
        <f>IF(OR('Client Form'!C14="Yes",'Client Form'!C14="Partial"),"Yes","No")</f>
        <v/>
      </c>
      <c r="G14">
        <f>IF('Client Form'!C14="Yes","Yes","No")</f>
        <v/>
      </c>
      <c r="H14">
        <f>IF(OR('Client Form'!C14="Yes",'Client Form'!C14="Partial"),"Yes","No")</f>
        <v/>
      </c>
      <c r="I14">
        <f>IF('Client Form'!C14="Yes","Yes","No")</f>
        <v/>
      </c>
      <c r="J14">
        <f>IF('Client Form'!C14="Yes","Yes","No")</f>
        <v/>
      </c>
      <c r="K14">
        <f>Mapping!F13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2026-04-21T14:52:33Z</dcterms:created>
  <dcterms:modified xmlns:dcterms="http://purl.org/dc/terms/" xmlns:xsi="http://www.w3.org/2001/XMLSchema-instance" xsi:type="dcterms:W3CDTF">2026-04-21T14:52:33Z</dcterms:modified>
</cp:coreProperties>
</file>